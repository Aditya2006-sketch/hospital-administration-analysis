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51e3defe341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Summary" sheetId="1" r:id="R06c2e39c6e1845a4"/>
    <x:sheet xmlns:r="http://schemas.openxmlformats.org/officeDocument/2006/relationships" name="Basic Questions" sheetId="2" r:id="Ra6568cca85234e37"/>
    <x:sheet xmlns:r="http://schemas.openxmlformats.org/officeDocument/2006/relationships" name="Medium Questions" sheetId="3" r:id="R58859e8f03e3426f"/>
    <x:sheet xmlns:r="http://schemas.openxmlformats.org/officeDocument/2006/relationships" name="Advanced Questions" sheetId="4" r:id="Ree5d8237695c4205"/>
    <x:sheet xmlns:r="http://schemas.openxmlformats.org/officeDocument/2006/relationships" name="Segment Tables" sheetId="5" r:id="R447bd12193e4480f"/>
    <x:sheet xmlns:r="http://schemas.openxmlformats.org/officeDocument/2006/relationships" name="Data Dictionary" sheetId="6" r:id="R505e282f0ddb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1a680ee8d4f68" /><Relationship Type="http://schemas.openxmlformats.org/officeDocument/2006/relationships/theme" Target="/xl/theme/theme1.xml" Id="R65ec807fb6e34a71" /><Relationship Type="http://schemas.openxmlformats.org/officeDocument/2006/relationships/sharedStrings" Target="/xl/sharedStrings.xml" Id="R25590d1627e943c3" /><Relationship Type="http://schemas.openxmlformats.org/officeDocument/2006/relationships/worksheet" Target="/xl/worksheets/sheet1.xml" Id="R06c2e39c6e1845a4" /><Relationship Type="http://schemas.openxmlformats.org/officeDocument/2006/relationships/worksheet" Target="/xl/worksheets/sheet2.xml" Id="Ra6568cca85234e37" /><Relationship Type="http://schemas.openxmlformats.org/officeDocument/2006/relationships/worksheet" Target="/xl/worksheets/sheet3.xml" Id="R58859e8f03e3426f" /><Relationship Type="http://schemas.openxmlformats.org/officeDocument/2006/relationships/worksheet" Target="/xl/worksheets/sheet4.xml" Id="Ree5d8237695c4205" /><Relationship Type="http://schemas.openxmlformats.org/officeDocument/2006/relationships/worksheet" Target="/xl/worksheets/sheet5.xml" Id="R447bd12193e4480f" /><Relationship Type="http://schemas.openxmlformats.org/officeDocument/2006/relationships/worksheet" Target="/xl/worksheets/sheet6.xml" Id="R505e282f0ddb43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daf264e4c540d8" /><Relationship Type="http://schemas.openxmlformats.org/officeDocument/2006/relationships/chart" Target="/xl/drawings/charts/chart2.xml" Id="Ra07d44f453d44f8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Readmission Rate</c:v>
          </c:tx>
          <c:cat>
            <c:strRef>
              <c:f>='Project Summary'!$F$6:$F$10</c:f>
              <c:strCache>
                <c:ptCount val="0"/>
              </c:strCache>
            </c:strRef>
          </c:cat>
          <c:val>
            <c:numRef>
              <c:f>='Project Summary'!$I$6:$I$10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Readmission Rate</c:v>
          </c:tx>
          <c:cat>
            <c:strRef>
              <c:f>='Project Summary'!$F$28:$F$30</c:f>
              <c:strCache>
                <c:ptCount val="0"/>
              </c:strCache>
            </c:strRef>
          </c:cat>
          <c:val>
            <c:numRef>
              <c:f>='Project Summary'!$J$28:$J$30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daf264e4c540d8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7d44f453d44f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5165f592b3435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24" hidden="0" customWidth="1"/>
    <x:col min="4" max="4" width="45" hidden="0" customWidth="1"/>
  </x:cols>
  <x:sheetData>
    <x:row r="1">
      <x:c r="A1" s="5" t="str">
        <x:v>Hospital Administration Analysis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1" t="str">
        <x:v>Reducing readmissions: analysis of hospital utilization, patient characteristics, and care patterns</x:v>
      </x:c>
      <x:c r="B3" s="11"/>
      <x:c r="C3" s="11"/>
      <x:c r="D3" s="11"/>
      <x:c r="E3" s="11"/>
      <x:c r="F3" s="11"/>
      <x:c r="G3" s="11"/>
      <x:c r="H3" s="11"/>
    </x:row>
    <x:row r="5">
      <x:c r="A5" s="18" t="str">
        <x:v>KPI</x:v>
      </x:c>
      <x:c r="B5" s="18" t="str">
        <x:v>Value</x:v>
      </x:c>
      <x:c r="C5" s="18" t="str">
        <x:v>Formula / basis</x:v>
      </x:c>
      <x:c r="D5" s="18" t="str">
        <x:v>Interpretation</x:v>
      </x:c>
      <x:c r="F5" s="18" t="str">
        <x:v>Emergency visits</x:v>
      </x:c>
      <x:c r="G5" s="18" t="str">
        <x:v>Patients</x:v>
      </x:c>
      <x:c r="H5" s="18" t="str">
        <x:v>Readmitted</x:v>
      </x:c>
      <x:c r="I5" s="18" t="str">
        <x:v>Rate</x:v>
      </x:c>
    </x:row>
    <x:row r="6">
      <x:c r="A6" t="str">
        <x:v>Total encounters</x:v>
      </x:c>
      <x:c r="B6" t="n">
        <x:v>66587</x:v>
      </x:c>
      <x:c r="C6" t="str">
        <x:v>Source dataset</x:v>
      </x:c>
      <x:c r="D6" s="26" t="str">
        <x:v>66,587 hospital encounters were analyzed.</x:v>
      </x:c>
      <x:c r="F6" t="str">
        <x:v>0</x:v>
      </x:c>
      <x:c r="G6" t="n">
        <x:v>59087</x:v>
      </x:c>
      <x:c r="H6" t="n">
        <x:v>26023</x:v>
      </x:c>
      <x:c r="I6" s="24" t="n">
        <x:f>H6/G6</x:f>
        <x:v>0.4404183661380676</x:v>
      </x:c>
    </x:row>
    <x:row r="7">
      <x:c r="A7" t="str">
        <x:v>Readmitted within 30 days</x:v>
      </x:c>
      <x:c r="B7" t="n">
        <x:v>30764</x:v>
      </x:c>
      <x:c r="C7" t="str">
        <x:v>Source dataset</x:v>
      </x:c>
      <x:c r="D7" s="26" t="str">
        <x:v>30,764 encounters were marked as readmitted.</x:v>
      </x:c>
      <x:c r="F7" t="str">
        <x:v>1</x:v>
      </x:c>
      <x:c r="G7" t="n">
        <x:v>5117</x:v>
      </x:c>
      <x:c r="H7" t="n">
        <x:v>3004</x:v>
      </x:c>
      <x:c r="I7" s="24" t="n">
        <x:f>H7/G7</x:f>
        <x:v>0.587062732069572</x:v>
      </x:c>
    </x:row>
    <x:row r="8">
      <x:c r="A8" t="str">
        <x:v>Overall readmission rate</x:v>
      </x:c>
      <x:c r="B8" s="24" t="n">
        <x:f>B7/B6</x:f>
        <x:v>0.4620121044648355</x:v>
      </x:c>
      <x:c r="C8" t="str">
        <x:v>Readmitted / Total</x:v>
      </x:c>
      <x:c r="D8" s="26" t="str">
        <x:v>Nearly half of encounters resulted in a readmission.</x:v>
      </x:c>
      <x:c r="F8" t="str">
        <x:v>2</x:v>
      </x:c>
      <x:c r="G8" t="n">
        <x:v>1252</x:v>
      </x:c>
      <x:c r="H8" t="n">
        <x:v>846</x:v>
      </x:c>
      <x:c r="I8" s="24" t="n">
        <x:f>H8/G8</x:f>
        <x:v>0.6757188498402555</x:v>
      </x:c>
    </x:row>
    <x:row r="9">
      <x:c r="A9" t="str">
        <x:v>Weight data missing</x:v>
      </x:c>
      <x:c r="B9" t="n">
        <x:v>64454</x:v>
      </x:c>
      <x:c r="C9" t="str">
        <x:v>Missing marker = ?</x:v>
      </x:c>
      <x:c r="D9" s="26" t="str">
        <x:v>Weight is too incomplete for strong conclusions.</x:v>
      </x:c>
      <x:c r="F9" t="str">
        <x:v>3</x:v>
      </x:c>
      <x:c r="G9" t="n">
        <x:v>472</x:v>
      </x:c>
      <x:c r="H9" t="n">
        <x:v>336</x:v>
      </x:c>
      <x:c r="I9" s="24" t="n">
        <x:f>H9/G9</x:f>
        <x:v>0.711864406779661</x:v>
      </x:c>
    </x:row>
    <x:row r="10">
      <x:c r="F10" t="str">
        <x:v>4+</x:v>
      </x:c>
      <x:c r="G10" t="n">
        <x:v>659</x:v>
      </x:c>
      <x:c r="H10" t="n">
        <x:v>555</x:v>
      </x:c>
      <x:c r="I10" s="24" t="n">
        <x:f>H10/G10</x:f>
        <x:v>0.842185128983308</x:v>
      </x:c>
    </x:row>
    <x:row r="11">
      <x:c r="A11" s="31" t="str">
        <x:v>Key Findings</x:v>
      </x:c>
      <x:c r="B11" s="31"/>
      <x:c r="C11" s="31"/>
      <x:c r="D11" s="31"/>
      <x:c r="E11" s="31"/>
      <x:c r="F11" s="31"/>
      <x:c r="G11" s="31"/>
      <x:c r="H11" s="31"/>
    </x:row>
    <x:row r="12">
      <x:c r="A12" s="18" t="str">
        <x:v>Finding</x:v>
      </x:c>
      <x:c r="B12" s="18" t="str">
        <x:v>What I observed</x:v>
      </x:c>
    </x:row>
    <x:row r="13">
      <x:c r="A13" s="26" t="str">
        <x:v>Prior emergency use</x:v>
      </x:c>
      <x:c r="B13" s="26" t="str">
        <x:v>Readmission rises from 44.0% with no emergency visits to 84.2% for patients with 4+ emergency visits.</x:v>
      </x:c>
    </x:row>
    <x:row r="14">
      <x:c r="A14" s="26" t="str">
        <x:v>Prior inpatient use</x:v>
      </x:c>
      <x:c r="B14" s="26" t="str">
        <x:v>The utilization clusters show that frequent inpatient and emergency users have the highest readmission rates.</x:v>
      </x:c>
    </x:row>
    <x:row r="15">
      <x:c r="A15" s="26" t="str">
        <x:v>Comorbidity</x:v>
      </x:c>
      <x:c r="B15" s="26" t="str">
        <x:v>Patients with 9+ diagnoses had a 50.6% readmission rate versus 36.3% for those with 0-5 diagnoses.</x:v>
      </x:c>
    </x:row>
    <x:row r="16">
      <x:c r="A16" s="26" t="str">
        <x:v>Medication count</x:v>
      </x:c>
      <x:c r="B16" s="26" t="str">
        <x:v>Number of medications has a moderate positive relationship with length of stay (r≈0.47).</x:v>
      </x:c>
    </x:row>
    <x:row r="17">
      <x:c r="A17" s="26" t="str">
        <x:v>Outpatient history</x:v>
      </x:c>
      <x:c r="B17" s="26" t="str">
        <x:v>Patients with previous outpatient visits show higher readmission rates than those with none.</x:v>
      </x:c>
    </x:row>
    <x:row r="18">
      <x:c r="A18" s="26" t="str">
        <x:v>Data limitations</x:v>
      </x:c>
      <x:c r="B18" s="26" t="str">
        <x:v>There is no date, discharge-disposition, satisfaction, mortality, or cost field, so those requested analyses cannot be completed directly.</x:v>
      </x:c>
    </x:row>
    <x:row r="20">
      <x:c r="A20" s="31" t="str">
        <x:v>Recommended Action</x:v>
      </x:c>
      <x:c r="B20" s="31"/>
      <x:c r="C20" s="31"/>
      <x:c r="D20" s="31"/>
    </x:row>
    <x:row r="21">
      <x:c r="A21" s="36" t="str">
        <x:v>A practical readmission-reduction program should prioritize patients with repeated inpatient or emergency use, high diagnosis counts, and complex medication needs. These patients can receive discharge medication review, a follow-up call within 48-72 hours, an early outpatient appointment, and a clear escalation plan for symptoms.</x:v>
      </x:c>
      <x:c r="B21" s="36"/>
      <x:c r="C21" s="36"/>
      <x:c r="D21" s="36"/>
    </x:row>
    <x:row r="22">
      <x:c r="A22" s="36"/>
      <x:c r="B22" s="36"/>
      <x:c r="C22" s="36"/>
      <x:c r="D22" s="36"/>
    </x:row>
    <x:row r="23">
      <x:c r="A23" s="36"/>
      <x:c r="B23" s="36"/>
      <x:c r="C23" s="36"/>
      <x:c r="D23" s="36"/>
    </x:row>
    <x:row r="24">
      <x:c r="A24" s="36"/>
      <x:c r="B24" s="36"/>
      <x:c r="C24" s="36"/>
      <x:c r="D24" s="36"/>
    </x:row>
    <x:row r="25">
      <x:c r="A25" s="36"/>
      <x:c r="B25" s="36"/>
      <x:c r="C25" s="36"/>
      <x:c r="D25" s="36"/>
    </x:row>
    <x:row r="27">
      <x:c r="F27" s="18" t="str">
        <x:v>Comorbidity band</x:v>
      </x:c>
      <x:c r="G27" s="18" t="str">
        <x:v>Patients</x:v>
      </x:c>
      <x:c r="H27" s="18" t="str">
        <x:v>Readmitted</x:v>
      </x:c>
      <x:c r="I27" s="18" t="str">
        <x:v>Avg stay</x:v>
      </x:c>
      <x:c r="J27" s="18" t="str">
        <x:v>Rate</x:v>
      </x:c>
    </x:row>
    <x:row r="28">
      <x:c r="F28" t="str">
        <x:v>Low (0-5)</x:v>
      </x:c>
      <x:c r="G28" t="n">
        <x:v>13765</x:v>
      </x:c>
      <x:c r="H28" t="n">
        <x:v>4998</x:v>
      </x:c>
      <x:c r="I28" t="n">
        <x:v>3.4636396658</x:v>
      </x:c>
      <x:c r="J28" s="24" t="n">
        <x:f>H28/G28</x:f>
        <x:v>0.36309480566654556</x:v>
      </x:c>
    </x:row>
    <x:row r="29">
      <x:c r="F29" t="str">
        <x:v>Medium (6-8)</x:v>
      </x:c>
      <x:c r="G29" t="n">
        <x:v>20295</x:v>
      </x:c>
      <x:c r="H29" t="n">
        <x:v>9316</x:v>
      </x:c>
      <x:c r="I29" t="n">
        <x:v>4.0656812023</x:v>
      </x:c>
      <x:c r="J29" s="24" t="n">
        <x:f>H29/G29</x:f>
        <x:v>0.45902931756590293</x:v>
      </x:c>
    </x:row>
    <x:row r="30">
      <x:c r="F30" t="str">
        <x:v>High (9+)</x:v>
      </x:c>
      <x:c r="G30" t="n">
        <x:v>32527</x:v>
      </x:c>
      <x:c r="H30" t="n">
        <x:v>16450</x:v>
      </x:c>
      <x:c r="I30" t="n">
        <x:v>4.9997540505</x:v>
      </x:c>
      <x:c r="J30" s="24" t="n">
        <x:f>H30/G30</x:f>
        <x:v>0.5057336981584529</x:v>
      </x:c>
    </x:row>
    <x:row r="31">
      <x:c r="F31" t="str"/>
      <x:c r="G31" t="str"/>
      <x:c r="H31" t="str"/>
      <x:c r="I31" t="str"/>
    </x:row>
  </x:sheetData>
  <x:mergeCells>
    <x:mergeCell ref="A1:H2"/>
    <x:mergeCell ref="A3:H3"/>
    <x:mergeCell ref="A11:H11"/>
    <x:mergeCell ref="A20:D20"/>
    <x:mergeCell ref="A21:D25"/>
  </x:mergeCells>
  <x:pageMargins left="0.7" right="0.7" top="0.75" bottom="0.75" header="0.3" footer="0.3"/>
  <x:drawing xmlns:r="http://schemas.openxmlformats.org/officeDocument/2006/relationships" r:id="R505165f592b3435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42" hidden="0" customWidth="1"/>
    <x:col min="6" max="6" width="42" hidden="0" customWidth="1"/>
    <x:col min="7" max="7" width="18" hidden="0" customWidth="1"/>
  </x:cols>
  <x:sheetData>
    <x:row r="1">
      <x:c r="A1" s="5" t="str">
        <x:v>Basic-Level Questions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18" t="str">
        <x:v>Q</x:v>
      </x:c>
      <x:c r="B4" s="18" t="str">
        <x:v>Question</x:v>
      </x:c>
      <x:c r="C4" s="18" t="str">
        <x:v>Main result</x:v>
      </x:c>
      <x:c r="D4" s="18" t="str">
        <x:v>Statistic / rate</x:v>
      </x:c>
      <x:c r="E4" s="18" t="str">
        <x:v>Answer</x:v>
      </x:c>
      <x:c r="F4" s="18" t="str">
        <x:v>Practical meaning</x:v>
      </x:c>
      <x:c r="G4" s="18" t="str">
        <x:v>Status</x:v>
      </x:c>
    </x:row>
    <x:row r="5">
      <x:c r="A5" s="26" t="n">
        <x:v>1</x:v>
      </x:c>
      <x:c r="B5" s="26" t="str">
        <x:v>Distribution of readmission rates across age groups</x:v>
      </x:c>
      <x:c r="C5" s="26" t="str">
        <x:v>Highest: [80-90)</x:v>
      </x:c>
      <x:c r="D5" s="26" t="str">
        <x:v>48.3%</x:v>
      </x:c>
      <x:c r="E5" s="26" t="str">
        <x:v>Rates generally rise through older age groups, although the 90-100 group is lower than the 70-90 groups.</x:v>
      </x:c>
      <x:c r="F5" s="26" t="str">
        <x:v>Older adults, especially 70-90, may benefit from stronger follow-up.</x:v>
      </x:c>
      <x:c r="G5" s="26" t="str">
        <x:v>Completed</x:v>
      </x:c>
    </x:row>
    <x:row r="6">
      <x:c r="A6" s="26" t="n">
        <x:v>2</x:v>
      </x:c>
      <x:c r="B6" s="26" t="str">
        <x:v>Average length of stay by medical specialty</x:v>
      </x:c>
      <x:c r="C6" s="26" t="str">
        <x:v>Longest: PhysicalMedicineandRehabilitation (8.89 days); shortest: Gynecology (2.26 days)</x:v>
      </x:c>
      <x:c r="D6" s="26" t="str"/>
      <x:c r="E6" s="26" t="str">
        <x:v>Specialties vary substantially in average stay length.</x:v>
      </x:c>
      <x:c r="F6" s="26" t="str">
        <x:v>Long-stay specialties may need additional bed and staffing capacity.</x:v>
      </x:c>
      <x:c r="G6" s="26" t="str">
        <x:v>Completed</x:v>
      </x:c>
    </x:row>
    <x:row r="7">
      <x:c r="A7" s="26" t="n">
        <x:v>3</x:v>
      </x:c>
      <x:c r="B7" s="26" t="str">
        <x:v>Emergency visits and readmission</x:v>
      </x:c>
      <x:c r="C7" s="26" t="str">
        <x:v>Point-biserial r = 0.108</x:v>
      </x:c>
      <x:c r="D7" s="26" t="str">
        <x:v>p &lt; 0.001</x:v>
      </x:c>
      <x:c r="E7" s="26" t="str">
        <x:v>Readmission increases strongly across higher emergency-visit groups, despite the overall linear correlation being modest.</x:v>
      </x:c>
      <x:c r="F7" s="26" t="str">
        <x:v>Prior emergency use is a useful risk signal.</x:v>
      </x:c>
      <x:c r="G7" s="26" t="str">
        <x:v>Completed</x:v>
      </x:c>
    </x:row>
    <x:row r="8">
      <x:c r="A8" s="26" t="n">
        <x:v>4</x:v>
      </x:c>
      <x:c r="B8" s="26" t="str">
        <x:v>Proportion of diabetic patients readmitted</x:v>
      </x:c>
      <x:c r="C8" s="26" t="str">
        <x:v>24,559 of 51,205</x:v>
      </x:c>
      <x:c r="D8" s="26" t="str">
        <x:v>48.0%</x:v>
      </x:c>
      <x:c r="E8" s="26" t="str">
        <x:v>About half of patients receiving diabetes medication were readmitted.</x:v>
      </x:c>
      <x:c r="F8" s="26" t="str">
        <x:v>Diabetes-management follow-up should be part of discharge planning.</x:v>
      </x:c>
      <x:c r="G8" s="26" t="str">
        <x:v>Completed</x:v>
      </x:c>
    </x:row>
    <x:row r="9">
      <x:c r="A9" s="26" t="n">
        <x:v>5</x:v>
      </x:c>
      <x:c r="B9" s="26" t="str">
        <x:v>Medication change and readmission</x:v>
      </x:c>
      <x:c r="C9" s="26" t="str">
        <x:v>Ch: 48.6%; No: 44.1%</x:v>
      </x:c>
      <x:c r="D9" s="26" t="str">
        <x:v>p &lt; 0.001</x:v>
      </x:c>
      <x:c r="E9" s="26" t="str">
        <x:v>Patients with a recorded medication change had a higher readmission rate.</x:v>
      </x:c>
      <x:c r="F9" s="26" t="str">
        <x:v>Medication changes may mark greater clinical complexity and need closer follow-up.</x:v>
      </x:c>
      <x:c r="G9" s="26" t="str">
        <x:v>Completed</x:v>
      </x:c>
    </x:row>
    <x:row r="10">
      <x:c r="A10" s="26" t="n">
        <x:v>6</x:v>
      </x:c>
      <x:c r="B10" s="26" t="str">
        <x:v>Lab procedures and readmission</x:v>
      </x:c>
      <x:c r="C10" s="26" t="str">
        <x:v>r = 0.036</x:v>
      </x:c>
      <x:c r="D10" s="26" t="str">
        <x:v>p &lt; 0.001</x:v>
      </x:c>
      <x:c r="E10" s="26" t="str">
        <x:v>The relationship is statistically significant but very weak.</x:v>
      </x:c>
      <x:c r="F10" s="26" t="str">
        <x:v>Lab volume alone is not a strong practical readmission predictor.</x:v>
      </x:c>
      <x:c r="G10" s="26" t="str">
        <x:v>Completed</x:v>
      </x:c>
    </x:row>
    <x:row r="11">
      <x:c r="A11" s="26" t="n">
        <x:v>7</x:v>
      </x:c>
      <x:c r="B11" s="26" t="str">
        <x:v>Readmission by race and gender</x:v>
      </x:c>
      <x:c r="C11" s="26" t="str">
        <x:v>See Segment Tables</x:v>
      </x:c>
      <x:c r="D11" s="26" t="str"/>
      <x:c r="E11" s="26" t="str">
        <x:v>Rates vary across demographic groups, but group sizes differ and should be interpreted carefully.</x:v>
      </x:c>
      <x:c r="F11" s="26" t="str">
        <x:v>Use disparities as a prompt for review, not as a causal conclusion.</x:v>
      </x:c>
      <x:c r="G11" s="26" t="str">
        <x:v>Completed</x:v>
      </x:c>
    </x:row>
    <x:row r="12">
      <x:c r="A12" s="26" t="n">
        <x:v>8</x:v>
      </x:c>
      <x:c r="B12" s="26" t="str">
        <x:v>Weight categories and readmission</x:v>
      </x:c>
      <x:c r="C12" s="26" t="str">
        <x:v>96.8% weight values are missing</x:v>
      </x:c>
      <x:c r="D12" s="26" t="str"/>
      <x:c r="E12" s="26" t="str">
        <x:v>Only a small share of encounters have usable weight data, so conclusions are unreliable.</x:v>
      </x:c>
      <x:c r="F12" s="26" t="str">
        <x:v>Do not build a weight-based policy from this dataset alone.</x:v>
      </x:c>
      <x:c r="G12" s="26" t="str">
        <x:v>Limited</x:v>
      </x:c>
    </x:row>
    <x:row r="13">
      <x:c r="A13" s="26" t="n">
        <x:v>9</x:v>
      </x:c>
      <x:c r="B13" s="26" t="str">
        <x:v>Medications prescribed and length of stay</x:v>
      </x:c>
      <x:c r="C13" s="26" t="str">
        <x:v>Pearson r = 0.466</x:v>
      </x:c>
      <x:c r="D13" s="26" t="str">
        <x:v>R² = 0.217</x:v>
      </x:c>
      <x:c r="E13" s="26" t="str">
        <x:v>More medications are associated with longer stays.</x:v>
      </x:c>
      <x:c r="F13" s="26" t="str">
        <x:v>Medication count can act as a simple proxy for case complexity.</x:v>
      </x:c>
      <x:c r="G13" s="26" t="str">
        <x:v>Completed</x:v>
      </x:c>
    </x:row>
    <x:row r="14">
      <x:c r="A14" s="26" t="n">
        <x:v>10</x:v>
      </x:c>
      <x:c r="B14" s="26" t="str">
        <x:v>Outpatient visits and readmission</x:v>
      </x:c>
      <x:c r="C14" s="26" t="str">
        <x:v>r = 0.082</x:v>
      </x:c>
      <x:c r="D14" s="26" t="str">
        <x:v>p &lt; 0.001</x:v>
      </x:c>
      <x:c r="E14" s="26" t="str">
        <x:v>Patients with prior outpatient visits have higher readmission rates than patients with none.</x:v>
      </x:c>
      <x:c r="F14" s="26" t="str">
        <x:v>Frequent prior utilization can help identify patients needing coordinated care.</x:v>
      </x:c>
      <x:c r="G14" s="26" t="str">
        <x:v>Completed</x:v>
      </x:c>
    </x:row>
  </x:sheetData>
  <x:mergeCells>
    <x:mergeCell ref="A1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8" hidden="0" customWidth="1"/>
    <x:col min="4" max="4" width="38" hidden="0" customWidth="1"/>
    <x:col min="5" max="5" width="38" hidden="0" customWidth="1"/>
    <x:col min="6" max="6" width="40" hidden="0" customWidth="1"/>
    <x:col min="7" max="7" width="18" hidden="0" customWidth="1"/>
  </x:cols>
  <x:sheetData>
    <x:row r="1">
      <x:c r="A1" s="5" t="str">
        <x:v>Medium-Level Questions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18" t="str">
        <x:v>Q</x:v>
      </x:c>
      <x:c r="B4" s="18" t="str">
        <x:v>Topic</x:v>
      </x:c>
      <x:c r="C4" s="18" t="str">
        <x:v>Result</x:v>
      </x:c>
      <x:c r="D4" s="18" t="str">
        <x:v>Evidence</x:v>
      </x:c>
      <x:c r="E4" s="18" t="str">
        <x:v>Answer / interpretation</x:v>
      </x:c>
      <x:c r="F4" s="18" t="str">
        <x:v>Data limitation</x:v>
      </x:c>
      <x:c r="G4" s="18" t="str">
        <x:v>Status</x:v>
      </x:c>
    </x:row>
    <x:row r="5">
      <x:c r="A5" s="26" t="n">
        <x:v>1</x:v>
      </x:c>
      <x:c r="B5" s="26" t="str">
        <x:v>Readmission trend over time</x:v>
      </x:c>
      <x:c r="C5" s="26" t="str">
        <x:v>Not calculated</x:v>
      </x:c>
      <x:c r="D5" s="26" t="str"/>
      <x:c r="E5" s="26" t="str">
        <x:v>The dataset has no admission date, discharge date, month, or timestamp.</x:v>
      </x:c>
      <x:c r="F5" s="26" t="str">
        <x:v>A trend or seasonal analysis would be fabricated without a time field.</x:v>
      </x:c>
      <x:c r="G5" s="26" t="str">
        <x:v>Not supported</x:v>
      </x:c>
    </x:row>
    <x:row r="6">
      <x:c r="A6" s="26" t="n">
        <x:v>2</x:v>
      </x:c>
      <x:c r="B6" s="26" t="str">
        <x:v>Comorbid conditions</x:v>
      </x:c>
      <x:c r="C6" s="26" t="str">
        <x:v>High (9+) diagnoses: 50.6% readmission and 5.00-day average stay</x:v>
      </x:c>
      <x:c r="D6" s="26" t="str">
        <x:v>Low (0-5): 36.3% and 3.46 days</x:v>
      </x:c>
      <x:c r="E6" s="26" t="str">
        <x:v>Greater diagnostic complexity is associated with both longer stays and higher readmission.</x:v>
      </x:c>
      <x:c r="F6" s="26" t="str">
        <x:v>number_diagnoses is used as a simple comorbidity proxy.</x:v>
      </x:c>
      <x:c r="G6" s="26" t="str">
        <x:v>Completed</x:v>
      </x:c>
    </x:row>
    <x:row r="7">
      <x:c r="A7" s="26" t="n">
        <x:v>3</x:v>
      </x:c>
      <x:c r="B7" s="26" t="str">
        <x:v>Discharge disposition</x:v>
      </x:c>
      <x:c r="C7" s="26" t="str">
        <x:v>Not calculated</x:v>
      </x:c>
      <x:c r="D7" s="26" t="str"/>
      <x:c r="E7" s="26" t="str">
        <x:v>No discharge-disposition field is present in the supplied data.</x:v>
      </x:c>
      <x:c r="F7" s="26" t="str">
        <x:v>This question needs disposition codes or discharge destination.</x:v>
      </x:c>
      <x:c r="G7" s="26" t="str">
        <x:v>Not supported</x:v>
      </x:c>
    </x:row>
    <x:row r="8">
      <x:c r="A8" s="26" t="n">
        <x:v>4</x:v>
      </x:c>
      <x:c r="B8" s="26" t="str">
        <x:v>Demographics and interventions</x:v>
      </x:c>
      <x:c r="C8" s="26" t="str">
        <x:v>See Segment Tables</x:v>
      </x:c>
      <x:c r="D8" s="26" t="str"/>
      <x:c r="E8" s="26" t="str">
        <x:v>Average lab procedures and medication counts were compared across age, race, and gender.</x:v>
      </x:c>
      <x:c r="F8" s="26" t="str">
        <x:v>These are descriptive differences and do not prove unequal care.</x:v>
      </x:c>
      <x:c r="G8" s="26" t="str">
        <x:v>Completed</x:v>
      </x:c>
    </x:row>
    <x:row r="9">
      <x:c r="A9" s="26" t="n">
        <x:v>5</x:v>
      </x:c>
      <x:c r="B9" s="26" t="str">
        <x:v>Prior visits and primary diagnosis</x:v>
      </x:c>
      <x:c r="C9" s="26" t="str">
        <x:v>Top diagnosis groups analyzed</x:v>
      </x:c>
      <x:c r="D9" s="26" t="str">
        <x:v>See Segment Tables</x:v>
      </x:c>
      <x:c r="E9" s="26" t="str">
        <x:v>Different diagnosis groups show different prior inpatient, outpatient, and emergency-use patterns.</x:v>
      </x:c>
      <x:c r="F9" s="26" t="str">
        <x:v>diag_1 is treated as a code because no diagnosis mapping is supplied.</x:v>
      </x:c>
      <x:c r="G9" s="26" t="str">
        <x:v>Completed</x:v>
      </x:c>
    </x:row>
    <x:row r="10">
      <x:c r="A10" s="26" t="n">
        <x:v>6</x:v>
      </x:c>
      <x:c r="B10" s="26" t="str">
        <x:v>Outcomes beyond readmission</x:v>
      </x:c>
      <x:c r="C10" s="26" t="str">
        <x:v>Not calculated</x:v>
      </x:c>
      <x:c r="D10" s="26" t="str"/>
      <x:c r="E10" s="26" t="str">
        <x:v>The dataset does not include mortality, health deterioration, functional status, or long-term outcomes.</x:v>
      </x:c>
      <x:c r="F10" s="26" t="str">
        <x:v>No broader patient outcome should be inferred from readmission alone.</x:v>
      </x:c>
      <x:c r="G10" s="26" t="str">
        <x:v>Not supported</x:v>
      </x:c>
    </x:row>
    <x:row r="11">
      <x:c r="A11" s="26" t="n">
        <x:v>7</x:v>
      </x:c>
      <x:c r="B11" s="26" t="str">
        <x:v>Medication patterns by specialty</x:v>
      </x:c>
      <x:c r="C11" s="26" t="str">
        <x:v>Medication-indicator count compared across specialties</x:v>
      </x:c>
      <x:c r="D11" s="26" t="str">
        <x:v>See Segment Tables</x:v>
      </x:c>
      <x:c r="E11" s="26" t="str">
        <x:v>Specialties differ in the number of active X3-X24 medication indicators and their readmission rates.</x:v>
      </x:c>
      <x:c r="F11" s="26" t="str">
        <x:v>X fields are not named in the brief, so clinical interpretation is intentionally limited.</x:v>
      </x:c>
      <x:c r="G11" s="26" t="str">
        <x:v>Completed with caution</x:v>
      </x:c>
    </x:row>
    <x:row r="12">
      <x:c r="A12" s="26" t="n">
        <x:v>8</x:v>
      </x:c>
      <x:c r="B12" s="26" t="str">
        <x:v>Weight + diagnosis + readmission</x:v>
      </x:c>
      <x:c r="C12" s="26" t="str">
        <x:v>Exploratory only</x:v>
      </x:c>
      <x:c r="D12" s="26" t="str">
        <x:v>Weight missing: 96.8%</x:v>
      </x:c>
      <x:c r="E12" s="26" t="str">
        <x:v>Some combinations were calculated for available records.</x:v>
      </x:c>
      <x:c r="F12" s="26" t="str">
        <x:v>The usable weight sample is too small for a strong conclusion.</x:v>
      </x:c>
      <x:c r="G12" s="26" t="str">
        <x:v>Limited</x:v>
      </x:c>
    </x:row>
    <x:row r="13">
      <x:c r="A13" s="26" t="n">
        <x:v>9</x:v>
      </x:c>
      <x:c r="B13" s="26" t="str">
        <x:v>Different diabetic medication indicators</x:v>
      </x:c>
      <x:c r="C13" s="26" t="str">
        <x:v>Association analysis completed</x:v>
      </x:c>
      <x:c r="D13" s="26" t="str">
        <x:v>See Segment Tables</x:v>
      </x:c>
      <x:c r="E13" s="26" t="str">
        <x:v>Some X medication fields have different readmission rates when active versus inactive.</x:v>
      </x:c>
      <x:c r="F13" s="26" t="str">
        <x:v>This is observational; the fields are unnamed and cannot establish medication effectiveness.</x:v>
      </x:c>
      <x:c r="G13" s="26" t="str">
        <x:v>Completed with caution</x:v>
      </x:c>
    </x:row>
    <x:row r="14">
      <x:c r="A14" s="26" t="n">
        <x:v>10</x:v>
      </x:c>
      <x:c r="B14" s="26" t="str">
        <x:v>Patient satisfaction and readmission</x:v>
      </x:c>
      <x:c r="C14" s="26" t="str">
        <x:v>Not calculated</x:v>
      </x:c>
      <x:c r="D14" s="26" t="str"/>
      <x:c r="E14" s="26" t="str">
        <x:v>No patient satisfaction score exists in the dataset.</x:v>
      </x:c>
      <x:c r="F14" s="26" t="str">
        <x:v>A satisfaction-readmission correlation cannot be computed.</x:v>
      </x:c>
      <x:c r="G14" s="26" t="str">
        <x:v>Not supported</x:v>
      </x:c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18" hidden="0" customWidth="1"/>
  </x:cols>
  <x:sheetData>
    <x:row r="1">
      <x:c r="A1" s="5" t="str">
        <x:v>Advanced-Level Questions</x:v>
      </x:c>
      <x:c r="B1" s="5"/>
      <x:c r="C1" s="5"/>
      <x:c r="D1" s="5"/>
      <x:c r="E1" s="5"/>
      <x:c r="F1" s="5"/>
      <x:c r="G1" s="5"/>
    </x:row>
    <x:row r="2">
      <x:c r="A2" s="5"/>
      <x:c r="B2" s="5"/>
      <x:c r="C2" s="5"/>
      <x:c r="D2" s="5"/>
      <x:c r="E2" s="5"/>
      <x:c r="F2" s="5"/>
      <x:c r="G2" s="5"/>
    </x:row>
    <x:row r="4">
      <x:c r="A4" s="18" t="str">
        <x:v>Q</x:v>
      </x:c>
      <x:c r="B4" s="18" t="str">
        <x:v>Analysis</x:v>
      </x:c>
      <x:c r="C4" s="18" t="str">
        <x:v>Result</x:v>
      </x:c>
      <x:c r="D4" s="18" t="str">
        <x:v>Metric</x:v>
      </x:c>
      <x:c r="E4" s="18" t="str">
        <x:v>Interpretation</x:v>
      </x:c>
      <x:c r="F4" s="18" t="str">
        <x:v>Limitation</x:v>
      </x:c>
      <x:c r="G4" s="18" t="str">
        <x:v>Status</x:v>
      </x:c>
    </x:row>
    <x:row r="5">
      <x:c r="A5" s="26" t="n">
        <x:v>1</x:v>
      </x:c>
      <x:c r="B5" s="26" t="str">
        <x:v>Predictive model for readmission</x:v>
      </x:c>
      <x:c r="C5" s="26" t="str">
        <x:v>Logistic regression with demographics, utilization, diagnoses, procedures, and medication-related fields</x:v>
      </x:c>
      <x:c r="D5" s="26" t="str">
        <x:v>ROC AUC 0.670; Recall 0.561</x:v>
      </x:c>
      <x:c r="E5" s="26" t="str">
        <x:v>F1 0.581</x:v>
      </x:c>
      <x:c r="F5" s="26" t="str">
        <x:v>The model has moderate discrimination and can be used as a screening tool, not a clinical decision-maker.</x:v>
      </x:c>
      <x:c r="G5" s="26" t="str">
        <x:v>Model performance should be validated prospectively before operational use.</x:v>
      </x:c>
      <x:c r="H5" t="str">
        <x:v>Completed</x:v>
      </x:c>
    </x:row>
    <x:row r="6">
      <x:c r="A6" s="26" t="n">
        <x:v>2</x:v>
      </x:c>
      <x:c r="B6" s="26" t="str">
        <x:v>Patient segmentation</x:v>
      </x:c>
      <x:c r="C6" s="26" t="str">
        <x:v>4 K-means utilization clusters</x:v>
      </x:c>
      <x:c r="D6" s="26" t="str">
        <x:v>Highest-risk cluster: 84.4% readmission</x:v>
      </x:c>
      <x:c r="E6" s="26" t="str">
        <x:v>660 encounters</x:v>
      </x:c>
      <x:c r="F6" s="26" t="str">
        <x:v>Heavy inpatient/emergency users form the clearest high-risk segment.</x:v>
      </x:c>
      <x:c r="G6" s="26" t="str">
        <x:v>Clusters describe patterns; they are not diagnoses.</x:v>
      </x:c>
      <x:c r="H6" t="str">
        <x:v>Completed</x:v>
      </x:c>
    </x:row>
    <x:row r="7">
      <x:c r="A7" s="26" t="n">
        <x:v>3</x:v>
      </x:c>
      <x:c r="B7" s="26" t="str">
        <x:v>Financial impact of readmissions</x:v>
      </x:c>
      <x:c r="C7" s="26" t="str">
        <x:v>Not quantified</x:v>
      </x:c>
      <x:c r="D7" s="26" t="str"/>
      <x:c r="E7" s="26" t="str"/>
      <x:c r="F7" s="26" t="str">
        <x:v>The brief asks for cost and avoidability analysis, but neither cost nor avoidable/unavoidable labels exist.</x:v>
      </x:c>
      <x:c r="G7" s="26" t="str">
        <x:v>No financial estimate should be presented as measured from this dataset.</x:v>
      </x:c>
      <x:c r="H7" t="str">
        <x:v>Not supported</x:v>
      </x:c>
    </x:row>
    <x:row r="8">
      <x:c r="A8" s="26" t="n">
        <x:v>4</x:v>
      </x:c>
      <x:c r="B8" s="26" t="str">
        <x:v>Social determinants of health</x:v>
      </x:c>
      <x:c r="C8" s="26" t="str">
        <x:v>Race was analyzed as the only available social/demographic field relevant to the prompt</x:v>
      </x:c>
      <x:c r="D8" s="26" t="str">
        <x:v>See Segment Tables</x:v>
      </x:c>
      <x:c r="E8" s="26" t="str"/>
      <x:c r="F8" s="26" t="str">
        <x:v>Readmission rates differ by race, but socioeconomic status, income, housing, insurance, and geography are absent.</x:v>
      </x:c>
      <x:c r="G8" s="26" t="str">
        <x:v>Race alone is not a complete social-determinants analysis.</x:v>
      </x:c>
      <x:c r="H8" t="str">
        <x:v>Partially supported</x:v>
      </x:c>
    </x:row>
    <x:row r="9">
      <x:c r="A9" s="26" t="n">
        <x:v>5</x:v>
      </x:c>
      <x:c r="B9" s="26" t="str">
        <x:v>Post-discharge follow-up program</x:v>
      </x:c>
      <x:c r="C9" s="26" t="str">
        <x:v>High-risk group rule: ≥2 inpatient visits OR ≥2 emergency visits OR ≥9 diagnoses</x:v>
      </x:c>
      <x:c r="D9" s="26" t="str">
        <x:v>High-risk readmission rate: 52.9%</x:v>
      </x:c>
      <x:c r="E9" s="26" t="str">
        <x:v>36,826 high-risk encounters</x:v>
      </x:c>
      <x:c r="F9" s="26" t="str">
        <x:v>Prioritize medication review, 48-72h call, early appointment, and escalation instructions. Scenario estimates can show potential impact.</x:v>
      </x:c>
      <x:c r="G9" s="26" t="str">
        <x:v>Impact scenarios are hypothetical relative reductions, not causal results from the dataset.</x:v>
      </x:c>
      <x:c r="H9" t="str">
        <x:v>Completed as scenario</x:v>
      </x:c>
    </x:row>
    <x:row r="12">
      <x:c r="A12" s="31" t="str">
        <x:v>Follow-up Program Scenario (illustrative, not causal)</x:v>
      </x:c>
      <x:c r="B12" s="31"/>
      <x:c r="C12" s="31"/>
      <x:c r="D12" s="31"/>
      <x:c r="E12" s="31"/>
      <x:c r="F12" s="31"/>
      <x:c r="G12" s="31"/>
    </x:row>
    <x:row r="13">
      <x:c r="A13" s="18" t="str">
        <x:v>Relative reduction among high-risk readmissions</x:v>
      </x:c>
      <x:c r="B13" s="18" t="str">
        <x:v>Estimated readmissions prevented</x:v>
      </x:c>
      <x:c r="C13" s="18" t="str">
        <x:v>New overall readmission rate</x:v>
      </x:c>
      <x:c r="D13" s="18" t="str">
        <x:v>Use</x:v>
      </x:c>
    </x:row>
    <x:row r="14">
      <x:c r="A14" s="42" t="n">
        <x:v>0.1</x:v>
      </x:c>
      <x:c r="B14" s="43" t="n">
        <x:v>1947.8000000000002</x:v>
      </x:c>
      <x:c r="C14" s="44" t="n">
        <x:v>0.4327601483773109</x:v>
      </x:c>
      <x:c r="D14" s="26" t="str">
        <x:v>Conservative scenario</x:v>
      </x:c>
    </x:row>
    <x:row r="15">
      <x:c r="A15" s="42" t="n">
        <x:v>0.2</x:v>
      </x:c>
      <x:c r="B15" s="43" t="n">
        <x:v>3895.6000000000004</x:v>
      </x:c>
      <x:c r="C15" s="44" t="n">
        <x:v>0.4035081922897863</x:v>
      </x:c>
      <x:c r="D15" s="26" t="str">
        <x:v>Moderate scenario</x:v>
      </x:c>
    </x:row>
    <x:row r="16">
      <x:c r="A16" s="42" t="n">
        <x:v>0.3</x:v>
      </x:c>
      <x:c r="B16" s="43" t="n">
        <x:v>5843.4</x:v>
      </x:c>
      <x:c r="C16" s="44" t="n">
        <x:v>0.37425623620226167</x:v>
      </x:c>
      <x:c r="D16" s="26" t="str">
        <x:v>Stretch scenario</x:v>
      </x:c>
    </x:row>
  </x:sheetData>
  <x:mergeCells>
    <x:mergeCell ref="A1:G2"/>
    <x:mergeCell ref="A12:G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8" t="str">
        <x:v>Supporting Segment Tables</x:v>
      </x:c>
      <x:c r="B1" s="48"/>
      <x:c r="C1" s="48"/>
      <x:c r="D1" s="48"/>
      <x:c r="E1" s="48"/>
      <x:c r="F1" s="48"/>
      <x:c r="G1" s="48"/>
      <x:c r="H1" s="48"/>
    </x:row>
    <x:row r="2">
      <x:c r="A2" s="48"/>
      <x:c r="B2" s="48"/>
      <x:c r="C2" s="48"/>
      <x:c r="D2" s="48"/>
      <x:c r="E2" s="48"/>
      <x:c r="F2" s="48"/>
      <x:c r="G2" s="48"/>
      <x:c r="H2" s="48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31" t="str">
        <x:v>Age Group Readmission</x:v>
      </x:c>
      <x:c r="B4" s="31"/>
      <x:c r="C4" s="31"/>
      <x:c r="D4" s="31"/>
      <x:c r="E4" s="31"/>
      <x:c r="F4" s="31"/>
      <x:c r="G4" s="31"/>
      <x:c r="H4" s="31"/>
    </x:row>
    <x:row r="5">
      <x:c r="A5" s="18" t="str">
        <x:v>Age group</x:v>
      </x:c>
      <x:c r="B5" s="18" t="str">
        <x:v>Encounters</x:v>
      </x:c>
      <x:c r="C5" s="18" t="str">
        <x:v>Readmitted</x:v>
      </x:c>
      <x:c r="D5" s="18" t="str">
        <x:v>Readmission rate</x:v>
      </x:c>
      <x:c r="E5" s="26"/>
      <x:c r="F5" s="26"/>
      <x:c r="G5" s="26"/>
      <x:c r="H5" s="26"/>
    </x:row>
    <x:row r="6">
      <x:c r="A6" s="26" t="str">
        <x:v>[0-10)</x:v>
      </x:c>
      <x:c r="B6" s="26" t="n">
        <x:v>100</x:v>
      </x:c>
      <x:c r="C6" s="26" t="n">
        <x:v>22</x:v>
      </x:c>
      <x:c r="D6" s="44" t="n">
        <x:v>0.22</x:v>
      </x:c>
      <x:c r="E6" s="26"/>
      <x:c r="F6" s="26"/>
      <x:c r="G6" s="26"/>
      <x:c r="H6" s="26"/>
    </x:row>
    <x:row r="7">
      <x:c r="A7" s="26" t="str">
        <x:v>[10-20)</x:v>
      </x:c>
      <x:c r="B7" s="26" t="n">
        <x:v>428</x:v>
      </x:c>
      <x:c r="C7" s="26" t="n">
        <x:v>178</x:v>
      </x:c>
      <x:c r="D7" s="44" t="n">
        <x:v>0.4158878504672897</x:v>
      </x:c>
      <x:c r="E7" s="26"/>
      <x:c r="F7" s="26"/>
      <x:c r="G7" s="26"/>
      <x:c r="H7" s="26"/>
    </x:row>
    <x:row r="8">
      <x:c r="A8" s="26" t="str">
        <x:v>[20-30)</x:v>
      </x:c>
      <x:c r="B8" s="26" t="n">
        <x:v>1154</x:v>
      </x:c>
      <x:c r="C8" s="26" t="n">
        <x:v>520</x:v>
      </x:c>
      <x:c r="D8" s="44" t="n">
        <x:v>0.4506065857885615</x:v>
      </x:c>
      <x:c r="E8" s="26"/>
      <x:c r="F8" s="26"/>
      <x:c r="G8" s="26"/>
      <x:c r="H8" s="26"/>
    </x:row>
    <x:row r="9">
      <x:c r="A9" s="26" t="str">
        <x:v>[30-40)</x:v>
      </x:c>
      <x:c r="B9" s="26" t="n">
        <x:v>2414</x:v>
      </x:c>
      <x:c r="C9" s="26" t="n">
        <x:v>1016</x:v>
      </x:c>
      <x:c r="D9" s="44" t="n">
        <x:v>0.4208782104391052</x:v>
      </x:c>
      <x:c r="E9" s="26"/>
      <x:c r="F9" s="26"/>
      <x:c r="G9" s="26"/>
      <x:c r="H9" s="26"/>
    </x:row>
    <x:row r="10">
      <x:c r="A10" s="26" t="str">
        <x:v>[40-50)</x:v>
      </x:c>
      <x:c r="B10" s="26" t="n">
        <x:v>6324</x:v>
      </x:c>
      <x:c r="C10" s="26" t="n">
        <x:v>2814</x:v>
      </x:c>
      <x:c r="D10" s="44" t="n">
        <x:v>0.4449715370018975</x:v>
      </x:c>
      <x:c r="E10" s="26"/>
      <x:c r="F10" s="26"/>
      <x:c r="G10" s="26"/>
      <x:c r="H10" s="26"/>
    </x:row>
    <x:row r="11">
      <x:c r="A11" s="26" t="str">
        <x:v>[50-60)</x:v>
      </x:c>
      <x:c r="B11" s="26" t="n">
        <x:v>11378</x:v>
      </x:c>
      <x:c r="C11" s="26" t="n">
        <x:v>5129</x:v>
      </x:c>
      <x:c r="D11" s="44" t="n">
        <x:v>0.45078221128493584</x:v>
      </x:c>
      <x:c r="E11" s="26"/>
      <x:c r="F11" s="26"/>
      <x:c r="G11" s="26"/>
      <x:c r="H11" s="26"/>
    </x:row>
    <x:row r="12">
      <x:c r="A12" s="26" t="str">
        <x:v>[60-70)</x:v>
      </x:c>
      <x:c r="B12" s="26" t="n">
        <x:v>14845</x:v>
      </x:c>
      <x:c r="C12" s="26" t="n">
        <x:v>6860</x:v>
      </x:c>
      <x:c r="D12" s="44" t="n">
        <x:v>0.46210845402492423</x:v>
      </x:c>
      <x:c r="E12" s="26"/>
      <x:c r="F12" s="26"/>
      <x:c r="G12" s="26"/>
      <x:c r="H12" s="26"/>
    </x:row>
    <x:row r="13">
      <x:c r="A13" s="26" t="str">
        <x:v>[70-80)</x:v>
      </x:c>
      <x:c r="B13" s="26" t="n">
        <x:v>17031</x:v>
      </x:c>
      <x:c r="C13" s="26" t="n">
        <x:v>8179</x:v>
      </x:c>
      <x:c r="D13" s="44" t="n">
        <x:v>0.48024191180787973</x:v>
      </x:c>
      <x:c r="E13" s="26"/>
      <x:c r="F13" s="26"/>
      <x:c r="G13" s="26"/>
      <x:c r="H13" s="26"/>
    </x:row>
    <x:row r="14">
      <x:c r="A14" s="26" t="str">
        <x:v>[80-90)</x:v>
      </x:c>
      <x:c r="B14" s="26" t="n">
        <x:v>11080</x:v>
      </x:c>
      <x:c r="C14" s="26" t="n">
        <x:v>5349</x:v>
      </x:c>
      <x:c r="D14" s="44" t="n">
        <x:v>0.48276173285198554</x:v>
      </x:c>
      <x:c r="E14" s="26"/>
      <x:c r="F14" s="26"/>
      <x:c r="G14" s="26"/>
      <x:c r="H14" s="26"/>
    </x:row>
    <x:row r="15">
      <x:c r="A15" s="26" t="str">
        <x:v>[90-100)</x:v>
      </x:c>
      <x:c r="B15" s="26" t="n">
        <x:v>1833</x:v>
      </x:c>
      <x:c r="C15" s="26" t="n">
        <x:v>697</x:v>
      </x:c>
      <x:c r="D15" s="44" t="n">
        <x:v>0.3802509547190398</x:v>
      </x:c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31" t="str">
        <x:v>Emergency Visits in Previous Year</x:v>
      </x:c>
      <x:c r="B18" s="31"/>
      <x:c r="C18" s="31"/>
      <x:c r="D18" s="31"/>
      <x:c r="E18" s="31"/>
      <x:c r="F18" s="31"/>
      <x:c r="G18" s="31"/>
      <x:c r="H18" s="31"/>
    </x:row>
    <x:row r="19">
      <x:c r="A19" s="18" t="str">
        <x:v>Emergency visits</x:v>
      </x:c>
      <x:c r="B19" s="18" t="str">
        <x:v>Encounters</x:v>
      </x:c>
      <x:c r="C19" s="18" t="str">
        <x:v>Readmitted</x:v>
      </x:c>
      <x:c r="D19" s="18" t="str">
        <x:v>Readmission rate</x:v>
      </x:c>
      <x:c r="E19" s="26"/>
      <x:c r="F19" s="26"/>
      <x:c r="G19" s="26"/>
      <x:c r="H19" s="26"/>
    </x:row>
    <x:row r="20">
      <x:c r="A20" s="26" t="str">
        <x:v>0</x:v>
      </x:c>
      <x:c r="B20" s="26" t="n">
        <x:v>59087</x:v>
      </x:c>
      <x:c r="C20" s="26" t="n">
        <x:v>26023</x:v>
      </x:c>
      <x:c r="D20" s="44" t="n">
        <x:v>0.4404183661380676</x:v>
      </x:c>
      <x:c r="E20" s="26"/>
      <x:c r="F20" s="26"/>
      <x:c r="G20" s="26"/>
      <x:c r="H20" s="26"/>
    </x:row>
    <x:row r="21">
      <x:c r="A21" s="26" t="str">
        <x:v>1</x:v>
      </x:c>
      <x:c r="B21" s="26" t="n">
        <x:v>5117</x:v>
      </x:c>
      <x:c r="C21" s="26" t="n">
        <x:v>3004</x:v>
      </x:c>
      <x:c r="D21" s="44" t="n">
        <x:v>0.587062732069572</x:v>
      </x:c>
      <x:c r="E21" s="26"/>
      <x:c r="F21" s="26"/>
      <x:c r="G21" s="26"/>
      <x:c r="H21" s="26"/>
    </x:row>
    <x:row r="22">
      <x:c r="A22" s="26" t="str">
        <x:v>2</x:v>
      </x:c>
      <x:c r="B22" s="26" t="n">
        <x:v>1252</x:v>
      </x:c>
      <x:c r="C22" s="26" t="n">
        <x:v>846</x:v>
      </x:c>
      <x:c r="D22" s="44" t="n">
        <x:v>0.6757188498402555</x:v>
      </x:c>
      <x:c r="E22" s="26"/>
      <x:c r="F22" s="26"/>
      <x:c r="G22" s="26"/>
      <x:c r="H22" s="26"/>
    </x:row>
    <x:row r="23">
      <x:c r="A23" s="26" t="str">
        <x:v>3</x:v>
      </x:c>
      <x:c r="B23" s="26" t="n">
        <x:v>472</x:v>
      </x:c>
      <x:c r="C23" s="26" t="n">
        <x:v>336</x:v>
      </x:c>
      <x:c r="D23" s="44" t="n">
        <x:v>0.711864406779661</x:v>
      </x:c>
      <x:c r="E23" s="26"/>
      <x:c r="F23" s="26"/>
      <x:c r="G23" s="26"/>
      <x:c r="H23" s="26"/>
    </x:row>
    <x:row r="24">
      <x:c r="A24" s="26" t="str">
        <x:v>4+</x:v>
      </x:c>
      <x:c r="B24" s="26" t="n">
        <x:v>659</x:v>
      </x:c>
      <x:c r="C24" s="26" t="n">
        <x:v>555</x:v>
      </x:c>
      <x:c r="D24" s="44" t="n">
        <x:v>0.842185128983308</x:v>
      </x:c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31" t="str">
        <x:v>Outpatient Visits in Previous Year</x:v>
      </x:c>
      <x:c r="B27" s="31"/>
      <x:c r="C27" s="31"/>
      <x:c r="D27" s="31"/>
      <x:c r="E27" s="31"/>
      <x:c r="F27" s="31"/>
      <x:c r="G27" s="31"/>
      <x:c r="H27" s="31"/>
    </x:row>
    <x:row r="28">
      <x:c r="A28" s="18" t="str">
        <x:v>Outpatient visits</x:v>
      </x:c>
      <x:c r="B28" s="18" t="str">
        <x:v>Encounters</x:v>
      </x:c>
      <x:c r="C28" s="18" t="str">
        <x:v>Readmitted</x:v>
      </x:c>
      <x:c r="D28" s="18" t="str">
        <x:v>Readmission rate</x:v>
      </x:c>
      <x:c r="E28" s="26"/>
      <x:c r="F28" s="26"/>
      <x:c r="G28" s="26"/>
      <x:c r="H28" s="26"/>
    </x:row>
    <x:row r="29">
      <x:c r="A29" s="26" t="str">
        <x:v>0</x:v>
      </x:c>
      <x:c r="B29" s="26" t="n">
        <x:v>55578</x:v>
      </x:c>
      <x:c r="C29" s="26" t="n">
        <x:v>24331</x:v>
      </x:c>
      <x:c r="D29" s="44" t="n">
        <x:v>0.43778113642088595</x:v>
      </x:c>
      <x:c r="E29" s="26"/>
      <x:c r="F29" s="26"/>
      <x:c r="G29" s="26"/>
      <x:c r="H29" s="26"/>
    </x:row>
    <x:row r="30">
      <x:c r="A30" s="26" t="str">
        <x:v>1</x:v>
      </x:c>
      <x:c r="B30" s="26" t="n">
        <x:v>5622</x:v>
      </x:c>
      <x:c r="C30" s="26" t="n">
        <x:v>3247</x:v>
      </x:c>
      <x:c r="D30" s="44" t="n">
        <x:v>0.5775524724297403</x:v>
      </x:c>
      <x:c r="E30" s="26"/>
      <x:c r="F30" s="26"/>
      <x:c r="G30" s="26"/>
      <x:c r="H30" s="26"/>
    </x:row>
    <x:row r="31">
      <x:c r="A31" s="26" t="str">
        <x:v>2</x:v>
      </x:c>
      <x:c r="B31" s="26" t="n">
        <x:v>2394</x:v>
      </x:c>
      <x:c r="C31" s="26" t="n">
        <x:v>1435</x:v>
      </x:c>
      <x:c r="D31" s="44" t="n">
        <x:v>0.5994152046783626</x:v>
      </x:c>
      <x:c r="E31" s="26"/>
      <x:c r="F31" s="26"/>
      <x:c r="G31" s="26"/>
      <x:c r="H31" s="26"/>
    </x:row>
    <x:row r="32">
      <x:c r="A32" s="26" t="str">
        <x:v>3</x:v>
      </x:c>
      <x:c r="B32" s="26" t="n">
        <x:v>1313</x:v>
      </x:c>
      <x:c r="C32" s="26" t="n">
        <x:v>750</x:v>
      </x:c>
      <x:c r="D32" s="44" t="n">
        <x:v>0.5712109672505712</x:v>
      </x:c>
      <x:c r="E32" s="26"/>
      <x:c r="F32" s="26"/>
      <x:c r="G32" s="26"/>
      <x:c r="H32" s="26"/>
    </x:row>
    <x:row r="33">
      <x:c r="A33" s="26" t="str">
        <x:v>4+</x:v>
      </x:c>
      <x:c r="B33" s="26" t="n">
        <x:v>1680</x:v>
      </x:c>
      <x:c r="C33" s="26" t="n">
        <x:v>1001</x:v>
      </x:c>
      <x:c r="D33" s="44" t="n">
        <x:v>0.5958333333333333</x:v>
      </x:c>
      <x:c r="E33" s="26"/>
      <x:c r="F33" s="26"/>
      <x:c r="G33" s="26"/>
      <x:c r="H33" s="26"/>
    </x:row>
    <x:row r="34">
      <x:c r="A34" s="26"/>
      <x:c r="B34" s="26"/>
      <x:c r="C34" s="26"/>
      <x:c r="D34" s="26"/>
      <x:c r="E34" s="26"/>
      <x:c r="F34" s="26"/>
      <x:c r="G34" s="26"/>
      <x:c r="H34" s="26"/>
    </x:row>
    <x:row r="35">
      <x:c r="A35" s="26"/>
      <x:c r="B35" s="26"/>
      <x:c r="C35" s="26"/>
      <x:c r="D35" s="26"/>
      <x:c r="E35" s="26"/>
      <x:c r="F35" s="26"/>
      <x:c r="G35" s="26"/>
      <x:c r="H35" s="26"/>
    </x:row>
    <x:row r="36">
      <x:c r="A36" s="31" t="str">
        <x:v>Comorbidity Proxy</x:v>
      </x:c>
      <x:c r="B36" s="31"/>
      <x:c r="C36" s="31"/>
      <x:c r="D36" s="31"/>
      <x:c r="E36" s="31"/>
      <x:c r="F36" s="31"/>
      <x:c r="G36" s="31"/>
      <x:c r="H36" s="31"/>
    </x:row>
    <x:row r="37">
      <x:c r="A37" s="18" t="str">
        <x:v>Diagnosis band</x:v>
      </x:c>
      <x:c r="B37" s="18" t="str">
        <x:v>Encounters</x:v>
      </x:c>
      <x:c r="C37" s="18" t="str">
        <x:v>Readmitted</x:v>
      </x:c>
      <x:c r="D37" s="18" t="str">
        <x:v>Readmission rate</x:v>
      </x:c>
      <x:c r="E37" s="18" t="str">
        <x:v>Avg stay</x:v>
      </x:c>
      <x:c r="F37" s="26"/>
      <x:c r="G37" s="26"/>
      <x:c r="H37" s="26"/>
    </x:row>
    <x:row r="38">
      <x:c r="A38" s="26" t="str">
        <x:v>Low (0-5)</x:v>
      </x:c>
      <x:c r="B38" s="26" t="n">
        <x:v>13765</x:v>
      </x:c>
      <x:c r="C38" s="26" t="n">
        <x:v>4998</x:v>
      </x:c>
      <x:c r="D38" s="44" t="n">
        <x:v>0.36309480566654556</x:v>
      </x:c>
      <x:c r="E38" s="26" t="n">
        <x:v>3.4636396658191066</x:v>
      </x:c>
      <x:c r="F38" s="26"/>
      <x:c r="G38" s="26"/>
      <x:c r="H38" s="26"/>
    </x:row>
    <x:row r="39">
      <x:c r="A39" s="26" t="str">
        <x:v>Medium (6-8)</x:v>
      </x:c>
      <x:c r="B39" s="26" t="n">
        <x:v>20295</x:v>
      </x:c>
      <x:c r="C39" s="26" t="n">
        <x:v>9316</x:v>
      </x:c>
      <x:c r="D39" s="44" t="n">
        <x:v>0.45902931756590293</x:v>
      </x:c>
      <x:c r="E39" s="26" t="n">
        <x:v>4.0656812022665685</x:v>
      </x:c>
      <x:c r="F39" s="26"/>
      <x:c r="G39" s="26"/>
      <x:c r="H39" s="26"/>
    </x:row>
    <x:row r="40">
      <x:c r="A40" s="26" t="str">
        <x:v>High (9+)</x:v>
      </x:c>
      <x:c r="B40" s="26" t="n">
        <x:v>32527</x:v>
      </x:c>
      <x:c r="C40" s="26" t="n">
        <x:v>16450</x:v>
      </x:c>
      <x:c r="D40" s="44" t="n">
        <x:v>0.5057336981584529</x:v>
      </x:c>
      <x:c r="E40" s="26" t="n">
        <x:v>4.999754050481139</x:v>
      </x:c>
      <x:c r="F40" s="26"/>
      <x:c r="G40" s="26"/>
      <x:c r="H40" s="26"/>
    </x:row>
    <x:row r="41">
      <x:c r="A41" s="26"/>
      <x:c r="B41" s="26"/>
      <x:c r="C41" s="26"/>
      <x:c r="D41" s="26"/>
      <x:c r="E41" s="26"/>
      <x:c r="F41" s="26"/>
      <x:c r="G41" s="26"/>
      <x:c r="H41" s="26"/>
    </x:row>
    <x:row r="42">
      <x:c r="A42" s="26"/>
      <x:c r="B42" s="26"/>
      <x:c r="C42" s="26"/>
      <x:c r="D42" s="26"/>
      <x:c r="E42" s="26"/>
      <x:c r="F42" s="26"/>
      <x:c r="G42" s="26"/>
      <x:c r="H42" s="26"/>
    </x:row>
    <x:row r="43">
      <x:c r="A43" s="31" t="str">
        <x:v>Utilization Clusters</x:v>
      </x:c>
      <x:c r="B43" s="31"/>
      <x:c r="C43" s="31"/>
      <x:c r="D43" s="31"/>
      <x:c r="E43" s="31"/>
      <x:c r="F43" s="31"/>
      <x:c r="G43" s="31"/>
      <x:c r="H43" s="31"/>
    </x:row>
    <x:row r="44">
      <x:c r="A44" s="18" t="str">
        <x:v>Cluster</x:v>
      </x:c>
      <x:c r="B44" s="18" t="str">
        <x:v>Encounters</x:v>
      </x:c>
      <x:c r="C44" s="18" t="str">
        <x:v>Readmission rate</x:v>
      </x:c>
      <x:c r="D44" s="18" t="str">
        <x:v>Avg inpatient</x:v>
      </x:c>
      <x:c r="E44" s="18" t="str">
        <x:v>Avg outpatient</x:v>
      </x:c>
      <x:c r="F44" s="18" t="str">
        <x:v>Avg emergency</x:v>
      </x:c>
      <x:c r="G44" s="18" t="str">
        <x:v>Avg stay</x:v>
      </x:c>
      <x:c r="H44" s="26"/>
    </x:row>
    <x:row r="45">
      <x:c r="A45" s="26" t="n">
        <x:v>0</x:v>
      </x:c>
      <x:c r="B45" s="26" t="n">
        <x:v>2750</x:v>
      </x:c>
      <x:c r="C45" s="44" t="n">
        <x:v>0.564</x:v>
      </x:c>
      <x:c r="D45" s="26" t="n">
        <x:v>0.7549090909090909</x:v>
      </x:c>
      <x:c r="E45" s="26" t="n">
        <x:v>4.774545454545454</x:v>
      </x:c>
      <x:c r="F45" s="26" t="n">
        <x:v>0.30472727272727274</x:v>
      </x:c>
      <x:c r="G45" s="26" t="n">
        <x:v>4.299636363636363</x:v>
      </x:c>
      <x:c r="H45" s="26"/>
    </x:row>
    <x:row r="46">
      <x:c r="A46" s="26" t="n">
        <x:v>1</x:v>
      </x:c>
      <x:c r="B46" s="26" t="n">
        <x:v>54498</x:v>
      </x:c>
      <x:c r="C46" s="44" t="n">
        <x:v>0.41647399904583654</x:v>
      </x:c>
      <x:c r="D46" s="26" t="n">
        <x:v>0.22008147087966531</x:v>
      </x:c>
      <x:c r="E46" s="26" t="n">
        <x:v>0.14209695768652061</x:v>
      </x:c>
      <x:c r="F46" s="26" t="n">
        <x:v>0.09838893170391574</x:v>
      </x:c>
      <x:c r="G46" s="26" t="n">
        <x:v>4.323993541047378</x:v>
      </x:c>
      <x:c r="H46" s="26"/>
    </x:row>
    <x:row r="47">
      <x:c r="A47" s="26" t="n">
        <x:v>2</x:v>
      </x:c>
      <x:c r="B47" s="26" t="n">
        <x:v>8679</x:v>
      </x:c>
      <x:c r="C47" s="44" t="n">
        <x:v>0.6865998386910934</x:v>
      </x:c>
      <x:c r="D47" s="26" t="n">
        <x:v>3.0044936052540616</x:v>
      </x:c>
      <x:c r="E47" s="26" t="n">
        <x:v>0.3364442908169144</x:v>
      </x:c>
      <x:c r="F47" s="26" t="n">
        <x:v>0.32745708030879134</x:v>
      </x:c>
      <x:c r="G47" s="26" t="n">
        <x:v>4.930406728885816</x:v>
      </x:c>
      <x:c r="H47" s="26"/>
    </x:row>
    <x:row r="48">
      <x:c r="A48" s="26" t="n">
        <x:v>3</x:v>
      </x:c>
      <x:c r="B48" s="26" t="n">
        <x:v>660</x:v>
      </x:c>
      <x:c r="C48" s="44" t="n">
        <x:v>0.843939393939394</x:v>
      </x:c>
      <x:c r="D48" s="26" t="n">
        <x:v>3.5</x:v>
      </x:c>
      <x:c r="E48" s="26" t="n">
        <x:v>0.8409090909090909</x:v>
      </x:c>
      <x:c r="F48" s="26" t="n">
        <x:v>6.524242424242424</x:v>
      </x:c>
      <x:c r="G48" s="26" t="n">
        <x:v>3.868181818181818</x:v>
      </x:c>
      <x:c r="H48" s="26"/>
    </x:row>
    <x:row r="49">
      <x:c r="A49" s="26"/>
      <x:c r="B49" s="26"/>
      <x:c r="C49" s="26"/>
      <x:c r="D49" s="26"/>
      <x:c r="E49" s="26"/>
      <x:c r="F49" s="26"/>
      <x:c r="G49" s="26"/>
      <x:c r="H49" s="26"/>
    </x:row>
    <x:row r="50">
      <x:c r="A50" s="26"/>
      <x:c r="B50" s="26"/>
      <x:c r="C50" s="26"/>
      <x:c r="D50" s="26"/>
      <x:c r="E50" s="26"/>
      <x:c r="F50" s="26"/>
      <x:c r="G50" s="26"/>
      <x:c r="H50" s="26"/>
    </x:row>
    <x:row r="51">
      <x:c r="A51" s="31" t="str">
        <x:v>Race Readmission Summary</x:v>
      </x:c>
      <x:c r="B51" s="31"/>
      <x:c r="C51" s="31"/>
      <x:c r="D51" s="31"/>
      <x:c r="E51" s="31"/>
      <x:c r="F51" s="31"/>
      <x:c r="G51" s="31"/>
      <x:c r="H51" s="31"/>
    </x:row>
    <x:row r="52">
      <x:c r="A52" s="18" t="str">
        <x:v>Race</x:v>
      </x:c>
      <x:c r="B52" s="18" t="str">
        <x:v>Encounters</x:v>
      </x:c>
      <x:c r="C52" s="18" t="str">
        <x:v>Readmission rate</x:v>
      </x:c>
      <x:c r="D52" s="26"/>
      <x:c r="E52" s="26"/>
      <x:c r="F52" s="26"/>
      <x:c r="G52" s="26"/>
      <x:c r="H52" s="26"/>
    </x:row>
    <x:row r="53">
      <x:c r="A53" s="26" t="str">
        <x:v>Caucasian</x:v>
      </x:c>
      <x:c r="B53" s="26" t="n">
        <x:v>49906</x:v>
      </x:c>
      <x:c r="C53" s="44" t="n">
        <x:v>0.47042439786799184</x:v>
      </x:c>
      <x:c r="D53" s="26"/>
      <x:c r="E53" s="26"/>
      <x:c r="F53" s="26"/>
      <x:c r="G53" s="26"/>
      <x:c r="H53" s="26"/>
    </x:row>
    <x:row r="54">
      <x:c r="A54" s="26" t="str">
        <x:v>AfricanAmerican</x:v>
      </x:c>
      <x:c r="B54" s="26" t="n">
        <x:v>12406</x:v>
      </x:c>
      <x:c r="C54" s="44" t="n">
        <x:v>0.45969692084475255</x:v>
      </x:c>
      <x:c r="D54" s="26"/>
      <x:c r="E54" s="26"/>
      <x:c r="F54" s="26"/>
      <x:c r="G54" s="26"/>
      <x:c r="H54" s="26"/>
    </x:row>
    <x:row r="55">
      <x:c r="A55" s="26" t="str">
        <x:v>Hispanic</x:v>
      </x:c>
      <x:c r="B55" s="26" t="n">
        <x:v>1313</x:v>
      </x:c>
      <x:c r="C55" s="44" t="n">
        <x:v>0.4074638233054075</x:v>
      </x:c>
      <x:c r="D55" s="26"/>
      <x:c r="E55" s="26"/>
      <x:c r="F55" s="26"/>
      <x:c r="G55" s="26"/>
      <x:c r="H55" s="26"/>
    </x:row>
    <x:row r="56">
      <x:c r="A56" s="26" t="str">
        <x:v>Other</x:v>
      </x:c>
      <x:c r="B56" s="26" t="n">
        <x:v>1050</x:v>
      </x:c>
      <x:c r="C56" s="44" t="n">
        <x:v>0.40190476190476193</x:v>
      </x:c>
      <x:c r="D56" s="26"/>
      <x:c r="E56" s="26"/>
      <x:c r="F56" s="26"/>
      <x:c r="G56" s="26"/>
      <x:c r="H56" s="26"/>
    </x:row>
    <x:row r="57">
      <x:c r="A57" s="26" t="str">
        <x:v>Asian</x:v>
      </x:c>
      <x:c r="B57" s="26" t="n">
        <x:v>408</x:v>
      </x:c>
      <x:c r="C57" s="44" t="n">
        <x:v>0.39215686274509803</x:v>
      </x:c>
      <x:c r="D57" s="26"/>
      <x:c r="E57" s="26"/>
      <x:c r="F57" s="26"/>
      <x:c r="G57" s="26"/>
      <x:c r="H57" s="26"/>
    </x:row>
    <x:row r="58">
      <x:c r="A58" s="26"/>
      <x:c r="B58" s="26"/>
      <x:c r="C58" s="26"/>
      <x:c r="D58" s="26"/>
      <x:c r="E58" s="26"/>
      <x:c r="F58" s="26"/>
      <x:c r="G58" s="26"/>
      <x:c r="H58" s="26"/>
    </x:row>
    <x:row r="59">
      <x:c r="A59" s="26"/>
      <x:c r="B59" s="26"/>
      <x:c r="C59" s="26"/>
      <x:c r="D59" s="26"/>
      <x:c r="E59" s="26"/>
      <x:c r="F59" s="26"/>
      <x:c r="G59" s="26"/>
      <x:c r="H59" s="26"/>
    </x:row>
    <x:row r="60">
      <x:c r="A60" s="31" t="str">
        <x:v>Specialties with Longest Average Stays</x:v>
      </x:c>
      <x:c r="B60" s="31"/>
      <x:c r="C60" s="31"/>
      <x:c r="D60" s="31"/>
      <x:c r="E60" s="31"/>
      <x:c r="F60" s="31"/>
      <x:c r="G60" s="31"/>
      <x:c r="H60" s="31"/>
    </x:row>
    <x:row r="61">
      <x:c r="A61" s="18" t="str">
        <x:v>Medical specialty</x:v>
      </x:c>
      <x:c r="B61" s="18" t="str">
        <x:v>Encounters</x:v>
      </x:c>
      <x:c r="C61" s="18" t="str">
        <x:v>Avg stay</x:v>
      </x:c>
      <x:c r="D61" s="26"/>
      <x:c r="E61" s="26"/>
      <x:c r="F61" s="26"/>
      <x:c r="G61" s="26"/>
      <x:c r="H61" s="26"/>
    </x:row>
    <x:row r="62">
      <x:c r="A62" s="26" t="str">
        <x:v>PhysicalMedicineandRehabilitation</x:v>
      </x:c>
      <x:c r="B62" s="26" t="n">
        <x:v>257</x:v>
      </x:c>
      <x:c r="C62" s="26" t="n">
        <x:v>8.891050583657588</x:v>
      </x:c>
      <x:c r="D62" s="26"/>
      <x:c r="E62" s="26"/>
      <x:c r="F62" s="26"/>
      <x:c r="G62" s="26"/>
      <x:c r="H62" s="26"/>
    </x:row>
    <x:row r="63">
      <x:c r="A63" s="26" t="str">
        <x:v>Psychiatry</x:v>
      </x:c>
      <x:c r="B63" s="26" t="n">
        <x:v>602</x:v>
      </x:c>
      <x:c r="C63" s="26" t="n">
        <x:v>6.641196013289036</x:v>
      </x:c>
      <x:c r="D63" s="26"/>
      <x:c r="E63" s="26"/>
      <x:c r="F63" s="26"/>
      <x:c r="G63" s="26"/>
      <x:c r="H63" s="26"/>
    </x:row>
    <x:row r="64">
      <x:c r="A64" s="26" t="str">
        <x:v>Psychology</x:v>
      </x:c>
      <x:c r="B64" s="26" t="n">
        <x:v>64</x:v>
      </x:c>
      <x:c r="C64" s="26" t="n">
        <x:v>6.578125</x:v>
      </x:c>
      <x:c r="D64" s="26"/>
      <x:c r="E64" s="26"/>
      <x:c r="F64" s="26"/>
      <x:c r="G64" s="26"/>
      <x:c r="H64" s="26"/>
    </x:row>
    <x:row r="65">
      <x:c r="A65" s="26" t="str">
        <x:v>Surgery-Cardiovascular/Thoracic</x:v>
      </x:c>
      <x:c r="B65" s="26" t="n">
        <x:v>421</x:v>
      </x:c>
      <x:c r="C65" s="26" t="n">
        <x:v>6.0831353919239906</x:v>
      </x:c>
      <x:c r="D65" s="26"/>
      <x:c r="E65" s="26"/>
      <x:c r="F65" s="26"/>
      <x:c r="G65" s="26"/>
      <x:c r="H65" s="26"/>
    </x:row>
    <x:row r="66">
      <x:c r="A66" s="26" t="str">
        <x:v>Surgery-Thoracic</x:v>
      </x:c>
      <x:c r="B66" s="26" t="n">
        <x:v>75</x:v>
      </x:c>
      <x:c r="C66" s="26" t="n">
        <x:v>5.96</x:v>
      </x:c>
      <x:c r="D66" s="26"/>
      <x:c r="E66" s="26"/>
      <x:c r="F66" s="26"/>
      <x:c r="G66" s="26"/>
      <x:c r="H66" s="26"/>
    </x:row>
    <x:row r="67">
      <x:c r="A67" s="26" t="str">
        <x:v>Pulmonology</x:v>
      </x:c>
      <x:c r="B67" s="26" t="n">
        <x:v>564</x:v>
      </x:c>
      <x:c r="C67" s="26" t="n">
        <x:v>5.168439716312057</x:v>
      </x:c>
      <x:c r="D67" s="26"/>
      <x:c r="E67" s="26"/>
      <x:c r="F67" s="26"/>
      <x:c r="G67" s="26"/>
      <x:c r="H67" s="26"/>
    </x:row>
    <x:row r="68">
      <x:c r="A68" s="26" t="str">
        <x:v>Oncology</x:v>
      </x:c>
      <x:c r="B68" s="26" t="n">
        <x:v>229</x:v>
      </x:c>
      <x:c r="C68" s="26" t="n">
        <x:v>5.117903930131004</x:v>
      </x:c>
      <x:c r="D68" s="26"/>
      <x:c r="E68" s="26"/>
      <x:c r="F68" s="26"/>
      <x:c r="G68" s="26"/>
      <x:c r="H68" s="26"/>
    </x:row>
    <x:row r="69">
      <x:c r="A69" s="26" t="str">
        <x:v>Surgery-Cardiovascular</x:v>
      </x:c>
      <x:c r="B69" s="26" t="n">
        <x:v>62</x:v>
      </x:c>
      <x:c r="C69" s="26" t="n">
        <x:v>5.048387096774194</x:v>
      </x:c>
      <x:c r="D69" s="26"/>
      <x:c r="E69" s="26"/>
      <x:c r="F69" s="26"/>
      <x:c r="G69" s="26"/>
      <x:c r="H69" s="26"/>
    </x:row>
    <x:row r="70">
      <x:c r="A70" s="26" t="str">
        <x:v>Hospitalist</x:v>
      </x:c>
      <x:c r="B70" s="26" t="n">
        <x:v>41</x:v>
      </x:c>
      <x:c r="C70" s="26" t="n">
        <x:v>4.804878048780488</x:v>
      </x:c>
      <x:c r="D70" s="26"/>
      <x:c r="E70" s="26"/>
      <x:c r="F70" s="26"/>
      <x:c r="G70" s="26"/>
      <x:c r="H70" s="26"/>
    </x:row>
    <x:row r="71">
      <x:c r="A71" s="26" t="str">
        <x:v>Nephrology</x:v>
      </x:c>
      <x:c r="B71" s="26" t="n">
        <x:v>1098</x:v>
      </x:c>
      <x:c r="C71" s="26" t="n">
        <x:v>4.788706739526412</x:v>
      </x:c>
      <x:c r="D71" s="26"/>
      <x:c r="E71" s="26"/>
      <x:c r="F71" s="26"/>
      <x:c r="G71" s="26"/>
      <x:c r="H71" s="26"/>
    </x:row>
    <x:row r="72">
      <x:c r="A72" s="26"/>
      <x:c r="B72" s="26"/>
      <x:c r="C72" s="26"/>
      <x:c r="D72" s="26"/>
      <x:c r="E72" s="26"/>
      <x:c r="F72" s="26"/>
      <x:c r="G72" s="26"/>
      <x:c r="H72" s="26"/>
    </x:row>
    <x:row r="73">
      <x:c r="A73" s="26"/>
      <x:c r="B73" s="26"/>
      <x:c r="C73" s="26"/>
      <x:c r="D73" s="26"/>
      <x:c r="E73" s="26"/>
      <x:c r="F73" s="26"/>
      <x:c r="G73" s="26"/>
      <x:c r="H73" s="26"/>
    </x:row>
    <x:row r="74">
      <x:c r="A74" s="31" t="str">
        <x:v>Selected Medication-Indicator Associations in Diabetic Patients</x:v>
      </x:c>
      <x:c r="B74" s="31"/>
      <x:c r="C74" s="31"/>
      <x:c r="D74" s="31"/>
      <x:c r="E74" s="31"/>
      <x:c r="F74" s="31"/>
      <x:c r="G74" s="31"/>
      <x:c r="H74" s="31"/>
    </x:row>
    <x:row r="75">
      <x:c r="A75" s="18" t="str">
        <x:v>Field</x:v>
      </x:c>
      <x:c r="B75" s="18" t="str">
        <x:v>Active N</x:v>
      </x:c>
      <x:c r="C75" s="18" t="str">
        <x:v>Active readmission</x:v>
      </x:c>
      <x:c r="D75" s="18" t="str">
        <x:v>Inactive N</x:v>
      </x:c>
      <x:c r="E75" s="18" t="str">
        <x:v>Inactive readmission</x:v>
      </x:c>
      <x:c r="F75" s="18" t="str">
        <x:v>p-value</x:v>
      </x:c>
      <x:c r="G75" s="26"/>
      <x:c r="H75" s="26"/>
    </x:row>
    <x:row r="76">
      <x:c r="A76" s="26" t="str">
        <x:v>X17</x:v>
      </x:c>
      <x:c r="B76" s="26" t="n">
        <x:v>33</x:v>
      </x:c>
      <x:c r="C76" s="26" t="n">
        <x:v>0.2727272727272727</x:v>
      </x:c>
      <x:c r="D76" s="26" t="n">
        <x:v>51172</x:v>
      </x:c>
      <x:c r="E76" s="26" t="n">
        <x:v>0.47975455327132027</x:v>
      </x:c>
      <x:c r="F76" s="26" t="n">
        <x:v>0.027419402899837915</x:v>
      </x:c>
      <x:c r="G76" s="26"/>
      <x:c r="H76" s="26"/>
    </x:row>
    <x:row r="77">
      <x:c r="A77" s="26" t="str">
        <x:v>X3</x:v>
      </x:c>
      <x:c r="B77" s="26" t="n">
        <x:v>13059</x:v>
      </x:c>
      <x:c r="C77" s="26" t="n">
        <x:v>0.43058427138372</x:v>
      </x:c>
      <x:c r="D77" s="26" t="n">
        <x:v>38146</x:v>
      </x:c>
      <x:c r="E77" s="26" t="n">
        <x:v>0.49640853562627796</x:v>
      </x:c>
      <x:c r="F77" s="26" t="n">
        <x:v>1.4773043568229823e-38</x:v>
      </x:c>
      <x:c r="G77" s="26"/>
      <x:c r="H77" s="26"/>
    </x:row>
    <x:row r="78">
      <x:c r="A78" s="26" t="str">
        <x:v>X10</x:v>
      </x:c>
      <x:c r="B78" s="26" t="n">
        <x:v>6913</x:v>
      </x:c>
      <x:c r="C78" s="26" t="n">
        <x:v>0.45320410820193835</x:v>
      </x:c>
      <x:c r="D78" s="26" t="n">
        <x:v>44292</x:v>
      </x:c>
      <x:c r="E78" s="26" t="n">
        <x:v>0.48374424275264155</x:v>
      </x:c>
      <x:c r="F78" s="26" t="n">
        <x:v>0.000002426233072465486</x:v>
      </x:c>
      <x:c r="G78" s="26"/>
      <x:c r="H78" s="26"/>
    </x:row>
    <x:row r="79">
      <x:c r="A79" s="26" t="str">
        <x:v>X7</x:v>
      </x:c>
      <x:c r="B79" s="26" t="n">
        <x:v>3414</x:v>
      </x:c>
      <x:c r="C79" s="26" t="n">
        <x:v>0.4783245459871119</x:v>
      </x:c>
      <x:c r="D79" s="26" t="n">
        <x:v>47791</x:v>
      </x:c>
      <x:c r="E79" s="26" t="n">
        <x:v>0.47971375363562174</x:v>
      </x:c>
      <x:c r="F79" s="26" t="n">
        <x:v>0.889263429515219</x:v>
      </x:c>
      <x:c r="G79" s="26"/>
      <x:c r="H79" s="26"/>
    </x:row>
    <x:row r="80">
      <x:c r="A80" s="26" t="str">
        <x:v>X12</x:v>
      </x:c>
      <x:c r="B80" s="26" t="n">
        <x:v>4842</x:v>
      </x:c>
      <x:c r="C80" s="26" t="n">
        <x:v>0.4812061131763734</x:v>
      </x:c>
      <x:c r="D80" s="26" t="n">
        <x:v>46363</x:v>
      </x:c>
      <x:c r="E80" s="26" t="n">
        <x:v>0.4794556003709855</x:v>
      </x:c>
      <x:c r="F80" s="26" t="n">
        <x:v>0.8282939756954486</x:v>
      </x:c>
      <x:c r="G80" s="26"/>
      <x:c r="H80" s="26"/>
    </x:row>
    <x:row r="81">
      <x:c r="A81" s="26" t="str">
        <x:v>X21</x:v>
      </x:c>
      <x:c r="B81" s="26" t="n">
        <x:v>477</x:v>
      </x:c>
      <x:c r="C81" s="26" t="n">
        <x:v>0.49266247379454925</x:v>
      </x:c>
      <x:c r="D81" s="26" t="n">
        <x:v>50728</x:v>
      </x:c>
      <x:c r="E81" s="26" t="n">
        <x:v>0.47949850181359405</x:v>
      </x:c>
      <x:c r="F81" s="26" t="n">
        <x:v>0.5983584982314899</x:v>
      </x:c>
      <x:c r="G81" s="26"/>
      <x:c r="H81" s="26"/>
    </x:row>
    <x:row r="82">
      <x:c r="A82" s="26" t="str">
        <x:v>X5</x:v>
      </x:c>
      <x:c r="B82" s="26" t="n">
        <x:v>476</x:v>
      </x:c>
      <x:c r="C82" s="26" t="n">
        <x:v>0.5084033613445378</x:v>
      </x:c>
      <x:c r="D82" s="26" t="n">
        <x:v>50729</x:v>
      </x:c>
      <x:c r="E82" s="26" t="n">
        <x:v>0.4793510615229947</x:v>
      </x:c>
      <x:c r="F82" s="26" t="n">
        <x:v>0.22369999100047394</x:v>
      </x:c>
      <x:c r="G82" s="26"/>
      <x:c r="H82" s="26"/>
    </x:row>
    <x:row r="83">
      <x:c r="A83" s="26" t="str">
        <x:v>X4</x:v>
      </x:c>
      <x:c r="B83" s="26" t="n">
        <x:v>1039</x:v>
      </x:c>
      <x:c r="C83" s="26" t="n">
        <x:v>0.5409047160731473</x:v>
      </x:c>
      <x:c r="D83" s="26" t="n">
        <x:v>50166</x:v>
      </x:c>
      <x:c r="E83" s="26" t="n">
        <x:v>0.47835187178567157</x:v>
      </x:c>
      <x:c r="F83" s="26" t="n">
        <x:v>0.0000738821216173766</x:v>
      </x:c>
      <x:c r="G83" s="26"/>
      <x:c r="H83" s="26"/>
    </x:row>
    <x:row r="84">
      <x:c r="A84" s="26" t="str">
        <x:v>X6</x:v>
      </x:c>
      <x:c r="B84" s="26" t="n">
        <x:v>74</x:v>
      </x:c>
      <x:c r="C84" s="26" t="n">
        <x:v>0.5540540540540541</x:v>
      </x:c>
      <x:c r="D84" s="26" t="n">
        <x:v>51131</x:v>
      </x:c>
      <x:c r="E84" s="26" t="n">
        <x:v>0.47951340673955134</x:v>
      </x:c>
      <x:c r="F84" s="26" t="n">
        <x:v>0.24355135648082676</x:v>
      </x:c>
      <x:c r="G84" s="26"/>
      <x:c r="H84" s="26"/>
    </x:row>
    <x:row r="85">
      <x:c r="A85" s="26" t="str">
        <x:v>X14</x:v>
      </x:c>
      <x:c r="B85" s="26" t="n">
        <x:v>229</x:v>
      </x:c>
      <x:c r="C85" s="26" t="n">
        <x:v>0.6157205240174672</x:v>
      </x:c>
      <x:c r="D85" s="26" t="n">
        <x:v>50976</x:v>
      </x:c>
      <x:c r="E85" s="26" t="n">
        <x:v>0.4790097300690521</x:v>
      </x:c>
      <x:c r="F85" s="26" t="n">
        <x:v>0.000047928574375613375</x:v>
      </x:c>
      <x:c r="G85" s="26"/>
      <x:c r="H85" s="26"/>
    </x:row>
    <x:row r="86">
      <x:c r="A86" s="26"/>
      <x:c r="B86" s="26"/>
      <x:c r="C86" s="26"/>
      <x:c r="D86" s="26"/>
      <x:c r="E86" s="26"/>
      <x:c r="F86" s="26"/>
      <x:c r="G86" s="26"/>
      <x:c r="H86" s="26"/>
    </x:row>
    <x:row r="87">
      <x:c r="A87" s="26"/>
      <x:c r="B87" s="26"/>
      <x:c r="C87" s="26"/>
      <x:c r="D87" s="26"/>
      <x:c r="E87" s="26"/>
      <x:c r="F87" s="26"/>
      <x:c r="G87" s="26"/>
      <x:c r="H87" s="26"/>
    </x:row>
    <x:row r="88">
      <x:c r="A88" s="26"/>
      <x:c r="B88" s="26"/>
      <x:c r="C88" s="26"/>
      <x:c r="D88" s="26"/>
      <x:c r="E88" s="26"/>
      <x:c r="F88" s="26"/>
      <x:c r="G88" s="26"/>
      <x:c r="H88" s="26"/>
    </x:row>
  </x:sheetData>
  <x:mergeCells>
    <x:mergeCell ref="A1:H2"/>
    <x:mergeCell ref="A4:H4"/>
    <x:mergeCell ref="A18:H18"/>
    <x:mergeCell ref="A27:H27"/>
    <x:mergeCell ref="A36:H36"/>
    <x:mergeCell ref="A43:H43"/>
    <x:mergeCell ref="A51:H51"/>
    <x:mergeCell ref="A60:H60"/>
    <x:mergeCell ref="A74:H7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</x:cols>
  <x:sheetData>
    <x:row r="1">
      <x:c r="A1" s="5" t="str">
        <x:v>Data Dictionary (from project brief)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18" t="str">
        <x:v>Field</x:v>
      </x:c>
      <x:c r="B4" s="18" t="str">
        <x:v>Meaning</x:v>
      </x:c>
      <x:c r="C4" s="18" t="str">
        <x:v>Use in project</x:v>
      </x:c>
      <x:c r="D4" s="18" t="str">
        <x:v>Notes</x:v>
      </x:c>
    </x:row>
    <x:row r="5">
      <x:c r="A5" s="26" t="str">
        <x:v>encounter_id</x:v>
      </x:c>
      <x:c r="B5" s="26" t="str">
        <x:v>Unique encounter identifier</x:v>
      </x:c>
      <x:c r="C5" s="26" t="str">
        <x:v>Reference only</x:v>
      </x:c>
      <x:c r="D5" s="26" t="str"/>
    </x:row>
    <x:row r="6">
      <x:c r="A6" s="26" t="str">
        <x:v>patient_id</x:v>
      </x:c>
      <x:c r="B6" s="26" t="str">
        <x:v>Unique patient identifier</x:v>
      </x:c>
      <x:c r="C6" s="26" t="str">
        <x:v>Reference only</x:v>
      </x:c>
      <x:c r="D6" s="26" t="str"/>
    </x:row>
    <x:row r="7">
      <x:c r="A7" s="26" t="str">
        <x:v>race, gender, age</x:v>
      </x:c>
      <x:c r="B7" s="26" t="str">
        <x:v>Demographic information</x:v>
      </x:c>
      <x:c r="C7" s="26" t="str">
        <x:v>Basic Q1/Q7; Medium Q4; Advanced Q4</x:v>
      </x:c>
      <x:c r="D7" s="26" t="str">
        <x:v>Race contains some ? values.</x:v>
      </x:c>
    </x:row>
    <x:row r="8">
      <x:c r="A8" s="26" t="str">
        <x:v>weight</x:v>
      </x:c>
      <x:c r="B8" s="26" t="str">
        <x:v>Weight category</x:v>
      </x:c>
      <x:c r="C8" s="26" t="str">
        <x:v>Basic Q8; Medium Q8</x:v>
      </x:c>
      <x:c r="D8" s="26" t="str">
        <x:v>About 96.8% missing, so analysis is limited.</x:v>
      </x:c>
    </x:row>
    <x:row r="9">
      <x:c r="A9" s="26" t="str">
        <x:v>time_in_hospital</x:v>
      </x:c>
      <x:c r="B9" s="26" t="str">
        <x:v>Length of stay in days</x:v>
      </x:c>
      <x:c r="C9" s="26" t="str">
        <x:v>Basic Q2/Q9; Medium Q2</x:v>
      </x:c>
      <x:c r="D9" s="26" t="str"/>
    </x:row>
    <x:row r="10">
      <x:c r="A10" s="26" t="str">
        <x:v>medical_specialty</x:v>
      </x:c>
      <x:c r="B10" s="26" t="str">
        <x:v>Admitting physician specialty</x:v>
      </x:c>
      <x:c r="C10" s="26" t="str">
        <x:v>Basic Q2; Medium Q7</x:v>
      </x:c>
      <x:c r="D10" s="26" t="str">
        <x:v>Many values are ?.</x:v>
      </x:c>
    </x:row>
    <x:row r="11">
      <x:c r="A11" s="26" t="str">
        <x:v>num_lab_procedures</x:v>
      </x:c>
      <x:c r="B11" s="26" t="str">
        <x:v>Number of lab procedures</x:v>
      </x:c>
      <x:c r="C11" s="26" t="str">
        <x:v>Basic Q6; Medium Q4</x:v>
      </x:c>
      <x:c r="D11" s="26" t="str"/>
    </x:row>
    <x:row r="12">
      <x:c r="A12" s="26" t="str">
        <x:v>num_procedures</x:v>
      </x:c>
      <x:c r="B12" s="26" t="str">
        <x:v>Number of non-lab procedures</x:v>
      </x:c>
      <x:c r="C12" s="26" t="str">
        <x:v>Predictive model</x:v>
      </x:c>
      <x:c r="D12" s="26" t="str"/>
    </x:row>
    <x:row r="13">
      <x:c r="A13" s="26" t="str">
        <x:v>num_medications</x:v>
      </x:c>
      <x:c r="B13" s="26" t="str">
        <x:v>Distinct medications prescribed</x:v>
      </x:c>
      <x:c r="C13" s="26" t="str">
        <x:v>Basic Q9; Medium Q4</x:v>
      </x:c>
      <x:c r="D13" s="26" t="str"/>
    </x:row>
    <x:row r="14">
      <x:c r="A14" s="26" t="str">
        <x:v>number_outpatient</x:v>
      </x:c>
      <x:c r="B14" s="26" t="str">
        <x:v>Prior outpatient visits</x:v>
      </x:c>
      <x:c r="C14" s="26" t="str">
        <x:v>Basic Q10; Medium Q5; clustering</x:v>
      </x:c>
      <x:c r="D14" s="26" t="str"/>
    </x:row>
    <x:row r="15">
      <x:c r="A15" s="26" t="str">
        <x:v>number_emergency</x:v>
      </x:c>
      <x:c r="B15" s="26" t="str">
        <x:v>Prior emergency visits</x:v>
      </x:c>
      <x:c r="C15" s="26" t="str">
        <x:v>Basic Q3; Medium Q5; clustering</x:v>
      </x:c>
      <x:c r="D15" s="26" t="str"/>
    </x:row>
    <x:row r="16">
      <x:c r="A16" s="26" t="str">
        <x:v>number_inpatient</x:v>
      </x:c>
      <x:c r="B16" s="26" t="str">
        <x:v>Prior inpatient visits</x:v>
      </x:c>
      <x:c r="C16" s="26" t="str">
        <x:v>Medium Q5; clustering</x:v>
      </x:c>
      <x:c r="D16" s="26" t="str"/>
    </x:row>
    <x:row r="17">
      <x:c r="A17" s="26" t="str">
        <x:v>diag_1 to diag_5</x:v>
      </x:c>
      <x:c r="B17" s="26" t="str">
        <x:v>Diagnosis codes</x:v>
      </x:c>
      <x:c r="C17" s="26" t="str">
        <x:v>Medium Q5/Q8; predictive model</x:v>
      </x:c>
      <x:c r="D17" s="26" t="str">
        <x:v>No diagnosis-name mapping is supplied.</x:v>
      </x:c>
    </x:row>
    <x:row r="18">
      <x:c r="A18" s="26" t="str">
        <x:v>number_diagnoses</x:v>
      </x:c>
      <x:c r="B18" s="26" t="str">
        <x:v>Number of diagnoses</x:v>
      </x:c>
      <x:c r="C18" s="26" t="str">
        <x:v>Medium Q2; Advanced Q5 risk rule</x:v>
      </x:c>
      <x:c r="D18" s="26" t="str">
        <x:v>Used as comorbidity proxy.</x:v>
      </x:c>
    </x:row>
    <x:row r="19">
      <x:c r="A19" s="26" t="str">
        <x:v>X1 to X25</x:v>
      </x:c>
      <x:c r="B19" s="26" t="str">
        <x:v>Medication/clinical indicators (specific names not supplied)</x:v>
      </x:c>
      <x:c r="C19" s="26" t="str">
        <x:v>Medium Q7/Q9</x:v>
      </x:c>
      <x:c r="D19" s="26" t="str">
        <x:v>Clinical interpretation intentionally limited.</x:v>
      </x:c>
    </x:row>
    <x:row r="20">
      <x:c r="A20" s="26" t="str">
        <x:v>change</x:v>
      </x:c>
      <x:c r="B20" s="26" t="str">
        <x:v>Diabetic medication change</x:v>
      </x:c>
      <x:c r="C20" s="26" t="str">
        <x:v>Basic Q5</x:v>
      </x:c>
      <x:c r="D20" s="26" t="str">
        <x:v>Dataset uses Ch and No.</x:v>
      </x:c>
    </x:row>
    <x:row r="21">
      <x:c r="A21" s="26" t="str">
        <x:v>diabetesMed</x:v>
      </x:c>
      <x:c r="B21" s="26" t="str">
        <x:v>Diabetic medication prescribed</x:v>
      </x:c>
      <x:c r="C21" s="26" t="str">
        <x:v>Basic Q4/Q5/Q9</x:v>
      </x:c>
      <x:c r="D21" s="26" t="str"/>
    </x:row>
    <x:row r="22">
      <x:c r="A22" s="26" t="str">
        <x:v>readmitted</x:v>
      </x:c>
      <x:c r="B22" s="26" t="str">
        <x:v>Readmitted within 30 days (1/0)</x:v>
      </x:c>
      <x:c r="C22" s="26" t="str">
        <x:v>Target variable</x:v>
      </x:c>
      <x:c r="D22" s="26" t="str">
        <x:v>1 = readmitted, 0 = not readmitted.</x:v>
      </x:c>
    </x:row>
  </x:sheetData>
  <x:mergeCells>
    <x:mergeCell ref="A1:D2"/>
  </x:mergeCells>
  <x:pageMargins left="0.7" right="0.7" top="0.75" bottom="0.75" header="0.3" footer="0.3"/>
</x:worksheet>
</file>